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- Buy" sheetId="1" state="visible" r:id="rId1"/>
    <sheet xmlns:r="http://schemas.openxmlformats.org/officeDocument/2006/relationships" name="BOM - Make" sheetId="2" state="visible" r:id="rId2"/>
    <sheet xmlns:r="http://schemas.openxmlformats.org/officeDocument/2006/relationships" name="Report 3 costing (old)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;(&quot;₹&quot;#,##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4" fillId="0" borderId="0" pivotButton="0" quotePrefix="0" xfId="0"/>
    <xf numFmtId="164" fontId="4" fillId="0" borderId="0" pivotButton="0" quotePrefix="0" xfId="0"/>
    <xf numFmtId="164" fontId="6" fillId="0" borderId="1" applyAlignment="1" pivotButton="0" quotePrefix="0" xfId="0">
      <alignment vertical="top" wrapText="1"/>
    </xf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40" customWidth="1" min="4" max="4"/>
    <col width="7" customWidth="1" min="5" max="5"/>
    <col width="8" customWidth="1" min="6" max="6"/>
    <col width="13" customWidth="1" min="7" max="7"/>
    <col width="13" customWidth="1" min="8" max="8"/>
    <col width="24" customWidth="1" min="9" max="9"/>
    <col width="48" customWidth="1" min="10" max="10"/>
  </cols>
  <sheetData>
    <row r="1">
      <c r="A1" s="1" t="inlineStr">
        <is>
          <t>Bill of Materials (BUY): Automatic Boarding Ramp, as built for Expo 22 Nov 2025</t>
        </is>
      </c>
    </row>
    <row r="2">
      <c r="A2" s="2" t="inlineStr">
        <is>
          <t>ENR215 Team 25 (Group 5, Sec 2). Bought-out parts used without rework. Rebuilt from Report 4, the Expo slides and the build photos. Yellow cells are inputs: fill in unit costs from your receipts.</t>
        </is>
      </c>
    </row>
    <row r="4">
      <c r="A4" s="3" t="inlineStr">
        <is>
          <t>Sl. No.</t>
        </is>
      </c>
      <c r="B4" s="3" t="inlineStr">
        <is>
          <t>Subsystem</t>
        </is>
      </c>
      <c r="C4" s="3" t="inlineStr">
        <is>
          <t>Part name</t>
        </is>
      </c>
      <c r="D4" s="3" t="inlineStr">
        <is>
          <t>Specification</t>
        </is>
      </c>
      <c r="E4" s="3" t="inlineStr">
        <is>
          <t>Qty</t>
        </is>
      </c>
      <c r="F4" s="3" t="inlineStr">
        <is>
          <t>Unit</t>
        </is>
      </c>
      <c r="G4" s="3" t="inlineStr">
        <is>
          <t>Unit cost (₹)</t>
        </is>
      </c>
      <c r="H4" s="3" t="inlineStr">
        <is>
          <t>Total (₹)</t>
        </is>
      </c>
      <c r="I4" s="3" t="inlineStr">
        <is>
          <t>Source</t>
        </is>
      </c>
      <c r="J4" s="3" t="inlineStr">
        <is>
          <t>Remarks</t>
        </is>
      </c>
    </row>
    <row r="5">
      <c r="A5" s="4" t="inlineStr">
        <is>
          <t>Drive &amp; motion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n">
        <v>1</v>
      </c>
      <c r="B6" s="5" t="inlineStr">
        <is>
          <t>Drive &amp; motion</t>
        </is>
      </c>
      <c r="C6" s="5" t="inlineStr">
        <is>
          <t>NEMA 23 stepper motor</t>
        </is>
      </c>
      <c r="D6" s="5" t="inlineStr">
        <is>
          <t>Bipolar, 4-wire, 1.8°/step (200 full steps/rev, per code)</t>
        </is>
      </c>
      <c r="E6" s="6" t="n">
        <v>1</v>
      </c>
      <c r="F6" s="5" t="inlineStr">
        <is>
          <t>pc</t>
        </is>
      </c>
      <c r="G6" s="7" t="n"/>
      <c r="H6" s="8">
        <f>IF(OR(E6="",G6=""),0,E6*G6)</f>
        <v/>
      </c>
      <c r="I6" s="5" t="inlineStr">
        <is>
          <t>Report 4 (Closure); Expo slides</t>
        </is>
      </c>
      <c r="J6" s="5" t="inlineStr">
        <is>
          <t>Drives the lead screw. Driver current set below motor rating (Report 4 DFS).</t>
        </is>
      </c>
    </row>
    <row r="7">
      <c r="A7" s="5" t="n">
        <v>2</v>
      </c>
      <c r="B7" s="5" t="inlineStr">
        <is>
          <t>Drive &amp; motion</t>
        </is>
      </c>
      <c r="C7" s="5" t="inlineStr">
        <is>
          <t>Ball screw (lead screw) with ball nut</t>
        </is>
      </c>
      <c r="D7" s="5" t="inlineStr">
        <is>
          <t>16 mm diameter, steel; cut to length on site</t>
        </is>
      </c>
      <c r="E7" s="6" t="n">
        <v>1</v>
      </c>
      <c r="F7" s="5" t="inlineStr">
        <is>
          <t>set</t>
        </is>
      </c>
      <c r="G7" s="7" t="n"/>
      <c r="H7" s="8">
        <f>IF(OR(E7="",G7=""),0,E7*G7)</f>
        <v/>
      </c>
      <c r="I7" s="5" t="inlineStr">
        <is>
          <t>Report 4 (Closure) Annex 4-3; Expo slides</t>
        </is>
      </c>
      <c r="J7" s="5" t="inlineStr">
        <is>
          <t>Report 4 calls it both '16 mm ball screw' and 'lead screw'. Length not recorded.</t>
        </is>
      </c>
    </row>
    <row r="8">
      <c r="A8" s="5" t="n">
        <v>3</v>
      </c>
      <c r="B8" s="5" t="inlineStr">
        <is>
          <t>Drive &amp; motion</t>
        </is>
      </c>
      <c r="C8" s="5" t="inlineStr">
        <is>
          <t>Flange bearing KFL000</t>
        </is>
      </c>
      <c r="D8" s="5" t="inlineStr">
        <is>
          <t>10 mm bore</t>
        </is>
      </c>
      <c r="E8" s="6" t="n">
        <v>1</v>
      </c>
      <c r="F8" s="5" t="inlineStr">
        <is>
          <t>pc</t>
        </is>
      </c>
      <c r="G8" s="7" t="n"/>
      <c r="H8" s="8">
        <f>IF(OR(E8="",G8=""),0,E8*G8)</f>
        <v/>
      </c>
      <c r="I8" s="5" t="inlineStr">
        <is>
          <t>Report 4 (Closure) Annex 4-3 step 3</t>
        </is>
      </c>
      <c r="J8" s="5" t="inlineStr">
        <is>
          <t>Front support of lead screw.</t>
        </is>
      </c>
    </row>
    <row r="9">
      <c r="A9" s="5" t="n">
        <v>4</v>
      </c>
      <c r="B9" s="5" t="inlineStr">
        <is>
          <t>Drive &amp; motion</t>
        </is>
      </c>
      <c r="C9" s="5" t="inlineStr">
        <is>
          <t>Pillow block bearing KP001</t>
        </is>
      </c>
      <c r="D9" s="5" t="inlineStr">
        <is>
          <t>12 mm bore</t>
        </is>
      </c>
      <c r="E9" s="6" t="n">
        <v>1</v>
      </c>
      <c r="F9" s="5" t="inlineStr">
        <is>
          <t>pc</t>
        </is>
      </c>
      <c r="G9" s="7" t="n"/>
      <c r="H9" s="8">
        <f>IF(OR(E9="",G9=""),0,E9*G9)</f>
        <v/>
      </c>
      <c r="I9" s="5" t="inlineStr">
        <is>
          <t>Report 4 (Closure) Annex 4-3 step 3</t>
        </is>
      </c>
      <c r="J9" s="5" t="inlineStr">
        <is>
          <t>Rear support of lead screw.</t>
        </is>
      </c>
    </row>
    <row r="10">
      <c r="A10" s="5" t="n">
        <v>5</v>
      </c>
      <c r="B10" s="5" t="inlineStr">
        <is>
          <t>Drive &amp; motion</t>
        </is>
      </c>
      <c r="C10" s="5" t="inlineStr">
        <is>
          <t>Rigid shaft coupling</t>
        </is>
      </c>
      <c r="D10" s="5" t="inlineStr">
        <is>
          <t>Aluminium, 6.35 mm × 10 mm bore, grub screws</t>
        </is>
      </c>
      <c r="E10" s="6" t="n">
        <v>1</v>
      </c>
      <c r="F10" s="5" t="inlineStr">
        <is>
          <t>pc</t>
        </is>
      </c>
      <c r="G10" s="7" t="n"/>
      <c r="H10" s="8">
        <f>IF(OR(E10="",G10=""),0,E10*G10)</f>
        <v/>
      </c>
      <c r="I10" s="5" t="inlineStr">
        <is>
          <t>Report 4 (Closure) Annex 4-3 step 4</t>
        </is>
      </c>
      <c r="J10" s="5" t="inlineStr">
        <is>
          <t>Motor shaft to lead screw.</t>
        </is>
      </c>
    </row>
    <row r="11">
      <c r="A11" s="5" t="n">
        <v>6</v>
      </c>
      <c r="B11" s="5" t="inlineStr">
        <is>
          <t>Drive &amp; motion</t>
        </is>
      </c>
      <c r="C11" s="5" t="inlineStr">
        <is>
          <t>Linear guide rod</t>
        </is>
      </c>
      <c r="D11" s="5" t="inlineStr">
        <is>
          <t>10 mm, chrome-plated</t>
        </is>
      </c>
      <c r="E11" s="6" t="n">
        <v>2</v>
      </c>
      <c r="F11" s="5" t="inlineStr">
        <is>
          <t>pc</t>
        </is>
      </c>
      <c r="G11" s="7" t="n"/>
      <c r="H11" s="8">
        <f>IF(OR(E11="",G11=""),0,E11*G11)</f>
        <v/>
      </c>
      <c r="I11" s="5" t="inlineStr">
        <is>
          <t>Report 4 (Closure) Annex 4-3 step 2; Build photos</t>
        </is>
      </c>
      <c r="J11" s="5" t="inlineStr">
        <is>
          <t>Qty from photos (one rod each side). Length not recorded.</t>
        </is>
      </c>
    </row>
    <row r="12">
      <c r="A12" s="5" t="n">
        <v>7</v>
      </c>
      <c r="B12" s="5" t="inlineStr">
        <is>
          <t>Drive &amp; motion</t>
        </is>
      </c>
      <c r="C12" s="5" t="inlineStr">
        <is>
          <t>Rod support bracket SK10</t>
        </is>
      </c>
      <c r="D12" s="5" t="inlineStr">
        <is>
          <t>For 10 mm rod</t>
        </is>
      </c>
      <c r="E12" s="6" t="n">
        <v>4</v>
      </c>
      <c r="F12" s="5" t="inlineStr">
        <is>
          <t>pc</t>
        </is>
      </c>
      <c r="G12" s="7" t="n"/>
      <c r="H12" s="8">
        <f>IF(OR(E12="",G12=""),0,E12*G12)</f>
        <v/>
      </c>
      <c r="I12" s="5" t="inlineStr">
        <is>
          <t>Report 4 (Closure) Annex 4-3 step 2; Build photos</t>
        </is>
      </c>
      <c r="J12" s="5" t="inlineStr">
        <is>
          <t>Qty inferred: 2 per guide rod.</t>
        </is>
      </c>
    </row>
    <row r="13">
      <c r="A13" s="5" t="n">
        <v>8</v>
      </c>
      <c r="B13" s="5" t="inlineStr">
        <is>
          <t>Drive &amp; motion</t>
        </is>
      </c>
      <c r="C13" s="5" t="inlineStr">
        <is>
          <t>Linear bearing slider block</t>
        </is>
      </c>
      <c r="D13" s="5" t="inlineStr">
        <is>
          <t>For 10 mm rod (SC10UU-type)</t>
        </is>
      </c>
      <c r="E13" s="6" t="n">
        <v>2</v>
      </c>
      <c r="F13" s="5" t="inlineStr">
        <is>
          <t>pc</t>
        </is>
      </c>
      <c r="G13" s="7" t="n"/>
      <c r="H13" s="8">
        <f>IF(OR(E13="",G13=""),0,E13*G13)</f>
        <v/>
      </c>
      <c r="I13" s="5" t="inlineStr">
        <is>
          <t>Build photos</t>
        </is>
      </c>
      <c r="J13" s="5" t="inlineStr">
        <is>
          <t>Inferred from photos: carriage rides on one block per rod. Part number not recorded.</t>
        </is>
      </c>
    </row>
    <row r="14">
      <c r="A14" s="4" t="inlineStr">
        <is>
          <t>Frame &amp; structure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5" t="n">
        <v>9</v>
      </c>
      <c r="B15" s="5" t="inlineStr">
        <is>
          <t>Frame &amp; structure</t>
        </is>
      </c>
      <c r="C15" s="5" t="inlineStr">
        <is>
          <t>Aluminium T-slot extrusion profile</t>
        </is>
      </c>
      <c r="D15" s="5" t="inlineStr">
        <is>
          <t>Square profile; cut to frame lengths</t>
        </is>
      </c>
      <c r="E15" s="6" t="n"/>
      <c r="F15" s="5" t="inlineStr">
        <is>
          <t>m</t>
        </is>
      </c>
      <c r="G15" s="7" t="n"/>
      <c r="H15" s="8">
        <f>IF(OR(E15="",G15=""),0,E15*G15)</f>
        <v/>
      </c>
      <c r="I15" s="5" t="inlineStr">
        <is>
          <t>Report 4 (Closure) Annex 4-1; Build photos</t>
        </is>
      </c>
      <c r="J15" s="5" t="inlineStr">
        <is>
          <t>Main box frame. Profile size and total length not recorded: measure the frame.</t>
        </is>
      </c>
    </row>
    <row r="16">
      <c r="A16" s="5" t="n">
        <v>10</v>
      </c>
      <c r="B16" s="5" t="inlineStr">
        <is>
          <t>Frame &amp; structure</t>
        </is>
      </c>
      <c r="C16" s="5" t="inlineStr">
        <is>
          <t>Extrusion corner brackets / L-gussets</t>
        </is>
      </c>
      <c r="D16" s="5" t="inlineStr">
        <is>
          <t>Matching extrusion profile</t>
        </is>
      </c>
      <c r="E16" s="6" t="n"/>
      <c r="F16" s="5" t="inlineStr">
        <is>
          <t>pc</t>
        </is>
      </c>
      <c r="G16" s="7" t="n"/>
      <c r="H16" s="8">
        <f>IF(OR(E16="",G16=""),0,E16*G16)</f>
        <v/>
      </c>
      <c r="I16" s="5" t="inlineStr">
        <is>
          <t>Build photos</t>
        </is>
      </c>
      <c r="J16" s="5" t="inlineStr">
        <is>
          <t>Visible at frame joints. Count not recorded.</t>
        </is>
      </c>
    </row>
    <row r="17">
      <c r="A17" s="5" t="n">
        <v>11</v>
      </c>
      <c r="B17" s="5" t="inlineStr">
        <is>
          <t>Frame &amp; structure</t>
        </is>
      </c>
      <c r="C17" s="5" t="inlineStr">
        <is>
          <t>T-nuts for extrusion</t>
        </is>
      </c>
      <c r="D17" s="5" t="inlineStr">
        <is>
          <t>Matching extrusion slot</t>
        </is>
      </c>
      <c r="E17" s="6" t="n"/>
      <c r="F17" s="5" t="inlineStr">
        <is>
          <t>pc</t>
        </is>
      </c>
      <c r="G17" s="7" t="n"/>
      <c r="H17" s="8">
        <f>IF(OR(E17="",G17=""),0,E17*G17)</f>
        <v/>
      </c>
      <c r="I17" s="5" t="inlineStr">
        <is>
          <t>Build photos</t>
        </is>
      </c>
      <c r="J17" s="5" t="inlineStr">
        <is>
          <t>Count not recorded.</t>
        </is>
      </c>
    </row>
    <row r="18">
      <c r="A18" s="5" t="n">
        <v>12</v>
      </c>
      <c r="B18" s="5" t="inlineStr">
        <is>
          <t>Frame &amp; structure</t>
        </is>
      </c>
      <c r="C18" s="5" t="inlineStr">
        <is>
          <t>Bolts, nuts and washers</t>
        </is>
      </c>
      <c r="D18" s="5" t="inlineStr">
        <is>
          <t>M6 and M8 only (standardised)</t>
        </is>
      </c>
      <c r="E18" s="6" t="n"/>
      <c r="F18" s="5" t="inlineStr">
        <is>
          <t>lot</t>
        </is>
      </c>
      <c r="G18" s="7" t="n"/>
      <c r="H18" s="8">
        <f>IF(OR(E18="",G18=""),0,E18*G18)</f>
        <v/>
      </c>
      <c r="I18" s="5" t="inlineStr">
        <is>
          <t>Report 4 (Closure) DFM</t>
        </is>
      </c>
      <c r="J18" s="5" t="inlineStr">
        <is>
          <t>Report 4: only M6 and M8 bolts used throughout.</t>
        </is>
      </c>
    </row>
    <row r="19">
      <c r="A19" s="5" t="n">
        <v>13</v>
      </c>
      <c r="B19" s="5" t="inlineStr">
        <is>
          <t>Frame &amp; structure</t>
        </is>
      </c>
      <c r="C19" s="5" t="inlineStr">
        <is>
          <t>Limit switch L-clamp brackets</t>
        </is>
      </c>
      <c r="D19" s="5" t="inlineStr">
        <is>
          <t>Standard L-clamp</t>
        </is>
      </c>
      <c r="E19" s="6" t="n">
        <v>2</v>
      </c>
      <c r="F19" s="5" t="inlineStr">
        <is>
          <t>pc</t>
        </is>
      </c>
      <c r="G19" s="7" t="n"/>
      <c r="H19" s="8">
        <f>IF(OR(E19="",G19=""),0,E19*G19)</f>
        <v/>
      </c>
      <c r="I19" s="5" t="inlineStr">
        <is>
          <t>Report 4 (Closure) DFM</t>
        </is>
      </c>
      <c r="J19" s="5" t="inlineStr">
        <is>
          <t>Replaced custom brackets; one per limit switch.</t>
        </is>
      </c>
    </row>
    <row r="20">
      <c r="A20" s="4" t="inlineStr">
        <is>
          <t>Electronics &amp; control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5" t="n">
        <v>14</v>
      </c>
      <c r="B21" s="5" t="inlineStr">
        <is>
          <t>Electronics &amp; control</t>
        </is>
      </c>
      <c r="C21" s="5" t="inlineStr">
        <is>
          <t>Arduino Nano</t>
        </is>
      </c>
      <c r="D21" s="5" t="inlineStr">
        <is>
          <t>ATmega328P</t>
        </is>
      </c>
      <c r="E21" s="6" t="n">
        <v>1</v>
      </c>
      <c r="F21" s="5" t="inlineStr">
        <is>
          <t>pc</t>
        </is>
      </c>
      <c r="G21" s="7" t="n"/>
      <c r="H21" s="8">
        <f>IF(OR(E21="",G21=""),0,E21*G21)</f>
        <v/>
      </c>
      <c r="I21" s="5" t="inlineStr">
        <is>
          <t>Report 4 (Closure) Annex 4-3, 4-6</t>
        </is>
      </c>
      <c r="J21" s="5" t="inlineStr">
        <is>
          <t>Controller. Code in Code/Code.md and Report 4 Annex 4-6.</t>
        </is>
      </c>
    </row>
    <row r="22">
      <c r="A22" s="5" t="n">
        <v>15</v>
      </c>
      <c r="B22" s="5" t="inlineStr">
        <is>
          <t>Electronics &amp; control</t>
        </is>
      </c>
      <c r="C22" s="5" t="inlineStr">
        <is>
          <t>USB cable for Arduino Nano</t>
        </is>
      </c>
      <c r="D22" s="5" t="inlineStr">
        <is>
          <t>Mini-USB (spare recommended)</t>
        </is>
      </c>
      <c r="E22" s="6" t="n">
        <v>1</v>
      </c>
      <c r="F22" s="5" t="inlineStr">
        <is>
          <t>pc</t>
        </is>
      </c>
      <c r="G22" s="7" t="n"/>
      <c r="H22" s="8">
        <f>IF(OR(E22="",G22=""),0,E22*G22)</f>
        <v/>
      </c>
      <c r="I22" s="5" t="inlineStr">
        <is>
          <t>Report 4 (Closure) failure report</t>
        </is>
      </c>
      <c r="J22" s="5" t="inlineStr">
        <is>
          <t>Original cable failed during testing and was replaced.</t>
        </is>
      </c>
    </row>
    <row r="23">
      <c r="A23" s="5" t="n">
        <v>16</v>
      </c>
      <c r="B23" s="5" t="inlineStr">
        <is>
          <t>Electronics &amp; control</t>
        </is>
      </c>
      <c r="C23" s="5" t="inlineStr">
        <is>
          <t>TB6600 stepper motor driver</t>
        </is>
      </c>
      <c r="D23" s="5" t="inlineStr">
        <is>
          <t>9–42 V DC input, up to 4 A</t>
        </is>
      </c>
      <c r="E23" s="6" t="n">
        <v>1</v>
      </c>
      <c r="F23" s="5" t="inlineStr">
        <is>
          <t>pc</t>
        </is>
      </c>
      <c r="G23" s="7" t="n"/>
      <c r="H23" s="8">
        <f>IF(OR(E23="",G23=""),0,E23*G23)</f>
        <v/>
      </c>
      <c r="I23" s="5" t="inlineStr">
        <is>
          <t>Report 4 (Closure) Annex 4-3, 4-6</t>
        </is>
      </c>
      <c r="J23" s="5" t="inlineStr">
        <is>
          <t>PUL/DIR from Arduino pins 3 and 2.</t>
        </is>
      </c>
    </row>
    <row r="24">
      <c r="A24" s="5" t="n">
        <v>17</v>
      </c>
      <c r="B24" s="5" t="inlineStr">
        <is>
          <t>Electronics &amp; control</t>
        </is>
      </c>
      <c r="C24" s="5" t="inlineStr">
        <is>
          <t>Industrial SMPS</t>
        </is>
      </c>
      <c r="D24" s="5" t="inlineStr">
        <is>
          <t>12 V DC, 4 A</t>
        </is>
      </c>
      <c r="E24" s="6" t="n">
        <v>1</v>
      </c>
      <c r="F24" s="5" t="inlineStr">
        <is>
          <t>pc</t>
        </is>
      </c>
      <c r="G24" s="7" t="n"/>
      <c r="H24" s="8">
        <f>IF(OR(E24="",G24=""),0,E24*G24)</f>
        <v/>
      </c>
      <c r="I24" s="5" t="inlineStr">
        <is>
          <t>Report 4 (Closure) Annex 4-3 step 6; Build photos</t>
        </is>
      </c>
      <c r="J24" s="5" t="inlineStr">
        <is>
          <t>Powers driver and Arduino.</t>
        </is>
      </c>
    </row>
    <row r="25">
      <c r="A25" s="5" t="n">
        <v>18</v>
      </c>
      <c r="B25" s="5" t="inlineStr">
        <is>
          <t>Electronics &amp; control</t>
        </is>
      </c>
      <c r="C25" s="5" t="inlineStr">
        <is>
          <t>Limit switch</t>
        </is>
      </c>
      <c r="D25" s="5" t="inlineStr">
        <is>
          <t>NO, wired to Arduino with INPUT_PULLUP</t>
        </is>
      </c>
      <c r="E25" s="6" t="n">
        <v>2</v>
      </c>
      <c r="F25" s="5" t="inlineStr">
        <is>
          <t>pc</t>
        </is>
      </c>
      <c r="G25" s="7" t="n"/>
      <c r="H25" s="8">
        <f>IF(OR(E25="",G25=""),0,E25*G25)</f>
        <v/>
      </c>
      <c r="I25" s="5" t="inlineStr">
        <is>
          <t>Report 4 (Closure); Expo slides</t>
        </is>
      </c>
      <c r="J25" s="5" t="inlineStr">
        <is>
          <t>One forward (pin 7), one backward (pin 4).</t>
        </is>
      </c>
    </row>
    <row r="26">
      <c r="A26" s="5" t="n">
        <v>19</v>
      </c>
      <c r="B26" s="5" t="inlineStr">
        <is>
          <t>Electronics &amp; control</t>
        </is>
      </c>
      <c r="C26" s="5" t="inlineStr">
        <is>
          <t>Push-button station</t>
        </is>
      </c>
      <c r="D26" s="5" t="inlineStr">
        <is>
          <t>2-hole enclosure with green and red push buttons</t>
        </is>
      </c>
      <c r="E26" s="6" t="n">
        <v>1</v>
      </c>
      <c r="F26" s="5" t="inlineStr">
        <is>
          <t>pc</t>
        </is>
      </c>
      <c r="G26" s="7" t="n"/>
      <c r="H26" s="8">
        <f>IF(OR(E26="",G26=""),0,E26*G26)</f>
        <v/>
      </c>
      <c r="I26" s="5" t="inlineStr">
        <is>
          <t>Report 4 (Closure) Annex 4-5; Build photos</t>
        </is>
      </c>
      <c r="J26" s="5" t="inlineStr">
        <is>
          <t>Green: extend/retract toggle. Red: emergency stop/resume.</t>
        </is>
      </c>
    </row>
    <row r="27">
      <c r="A27" s="5" t="n">
        <v>20</v>
      </c>
      <c r="B27" s="5" t="inlineStr">
        <is>
          <t>Electronics &amp; control</t>
        </is>
      </c>
      <c r="C27" s="5" t="inlineStr">
        <is>
          <t>Mains rocker switch</t>
        </is>
      </c>
      <c r="D27" s="5" t="inlineStr">
        <is>
          <t>16 A, 1-way</t>
        </is>
      </c>
      <c r="E27" s="6" t="n">
        <v>1</v>
      </c>
      <c r="F27" s="5" t="inlineStr">
        <is>
          <t>pc</t>
        </is>
      </c>
      <c r="G27" s="7" t="n"/>
      <c r="H27" s="8">
        <f>IF(OR(E27="",G27=""),0,E27*G27)</f>
        <v/>
      </c>
      <c r="I27" s="5" t="inlineStr">
        <is>
          <t>Build photos</t>
        </is>
      </c>
      <c r="J27" s="5" t="inlineStr">
        <is>
          <t>Seen on the control box in photos.</t>
        </is>
      </c>
    </row>
    <row r="28">
      <c r="A28" s="5" t="n">
        <v>21</v>
      </c>
      <c r="B28" s="5" t="inlineStr">
        <is>
          <t>Electronics &amp; control</t>
        </is>
      </c>
      <c r="C28" s="5" t="inlineStr">
        <is>
          <t>Mains power cord with plug</t>
        </is>
      </c>
      <c r="D28" s="5" t="inlineStr">
        <is>
          <t>3-core</t>
        </is>
      </c>
      <c r="E28" s="6" t="n">
        <v>1</v>
      </c>
      <c r="F28" s="5" t="inlineStr">
        <is>
          <t>pc</t>
        </is>
      </c>
      <c r="G28" s="7" t="n"/>
      <c r="H28" s="8">
        <f>IF(OR(E28="",G28=""),0,E28*G28)</f>
        <v/>
      </c>
      <c r="I28" s="5" t="inlineStr">
        <is>
          <t>Build photos</t>
        </is>
      </c>
      <c r="J28" s="5" t="inlineStr">
        <is>
          <t>Inferred from photos.</t>
        </is>
      </c>
    </row>
    <row r="29">
      <c r="A29" s="4" t="inlineStr">
        <is>
          <t>Wiring &amp; consumables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5" t="n">
        <v>22</v>
      </c>
      <c r="B30" s="5" t="inlineStr">
        <is>
          <t>Wiring &amp; consumables</t>
        </is>
      </c>
      <c r="C30" s="5" t="inlineStr">
        <is>
          <t>Hook-up wire</t>
        </is>
      </c>
      <c r="D30" s="5" t="inlineStr">
        <is>
          <t>Colour-coded, signal and power gauges</t>
        </is>
      </c>
      <c r="E30" s="6" t="n"/>
      <c r="F30" s="5" t="inlineStr">
        <is>
          <t>m</t>
        </is>
      </c>
      <c r="G30" s="7" t="n"/>
      <c r="H30" s="8">
        <f>IF(OR(E30="",G30=""),0,E30*G30)</f>
        <v/>
      </c>
      <c r="I30" s="5" t="inlineStr">
        <is>
          <t>Report 4 (Closure) DFA; Report 3 Poka-Yoke</t>
        </is>
      </c>
      <c r="J30" s="5" t="inlineStr">
        <is>
          <t>Colour-coded per poka-yoke sheet.</t>
        </is>
      </c>
    </row>
    <row r="31">
      <c r="A31" s="5" t="n">
        <v>23</v>
      </c>
      <c r="B31" s="5" t="inlineStr">
        <is>
          <t>Wiring &amp; consumables</t>
        </is>
      </c>
      <c r="C31" s="5" t="inlineStr">
        <is>
          <t>Male–female plug connectors</t>
        </is>
      </c>
      <c r="D31" s="5" t="inlineStr">
        <is>
          <t>For motor, limit switches, push buttons</t>
        </is>
      </c>
      <c r="E31" s="6" t="n"/>
      <c r="F31" s="5" t="inlineStr">
        <is>
          <t>set</t>
        </is>
      </c>
      <c r="G31" s="7" t="n"/>
      <c r="H31" s="8">
        <f>IF(OR(E31="",G31=""),0,E31*G31)</f>
        <v/>
      </c>
      <c r="I31" s="5" t="inlineStr">
        <is>
          <t>Report 4 (Closure) DFA</t>
        </is>
      </c>
      <c r="J31" s="5" t="inlineStr">
        <is>
          <t>Allow solder-free maintenance.</t>
        </is>
      </c>
    </row>
    <row r="32">
      <c r="A32" s="5" t="n">
        <v>24</v>
      </c>
      <c r="B32" s="5" t="inlineStr">
        <is>
          <t>Wiring &amp; consumables</t>
        </is>
      </c>
      <c r="C32" s="5" t="inlineStr">
        <is>
          <t>External wiring channel / spiral wrap</t>
        </is>
      </c>
      <c r="D32" s="5" t="inlineStr"/>
      <c r="E32" s="6" t="n"/>
      <c r="F32" s="5" t="inlineStr">
        <is>
          <t>m</t>
        </is>
      </c>
      <c r="G32" s="7" t="n"/>
      <c r="H32" s="8">
        <f>IF(OR(E32="",G32=""),0,E32*G32)</f>
        <v/>
      </c>
      <c r="I32" s="5" t="inlineStr">
        <is>
          <t>Report 4 (Closure) DFA; Build photos</t>
        </is>
      </c>
      <c r="J32" s="5" t="inlineStr">
        <is>
          <t>Wiring runs outside the frame.</t>
        </is>
      </c>
    </row>
    <row r="33">
      <c r="A33" s="5" t="n">
        <v>25</v>
      </c>
      <c r="B33" s="5" t="inlineStr">
        <is>
          <t>Wiring &amp; consumables</t>
        </is>
      </c>
      <c r="C33" s="5" t="inlineStr">
        <is>
          <t>Cable ties</t>
        </is>
      </c>
      <c r="D33" s="5" t="inlineStr"/>
      <c r="E33" s="6" t="n"/>
      <c r="F33" s="5" t="inlineStr">
        <is>
          <t>pack</t>
        </is>
      </c>
      <c r="G33" s="7" t="n"/>
      <c r="H33" s="8">
        <f>IF(OR(E33="",G33=""),0,E33*G33)</f>
        <v/>
      </c>
      <c r="I33" s="5" t="inlineStr">
        <is>
          <t>Build photos</t>
        </is>
      </c>
      <c r="J33" s="5" t="inlineStr"/>
    </row>
    <row r="34">
      <c r="A34" s="5" t="n">
        <v>26</v>
      </c>
      <c r="B34" s="5" t="inlineStr">
        <is>
          <t>Wiring &amp; consumables</t>
        </is>
      </c>
      <c r="C34" s="5" t="inlineStr">
        <is>
          <t>Grease / light machine oil</t>
        </is>
      </c>
      <c r="D34" s="5" t="inlineStr">
        <is>
          <t>For lead screw thread</t>
        </is>
      </c>
      <c r="E34" s="6" t="n"/>
      <c r="F34" s="5" t="inlineStr">
        <is>
          <t>lot</t>
        </is>
      </c>
      <c r="G34" s="7" t="n"/>
      <c r="H34" s="8">
        <f>IF(OR(E34="",G34=""),0,E34*G34)</f>
        <v/>
      </c>
      <c r="I34" s="5" t="inlineStr">
        <is>
          <t>Report 4 (Closure) Annex 4-3 step 3</t>
        </is>
      </c>
      <c r="J34" s="5" t="inlineStr"/>
    </row>
    <row r="35">
      <c r="G35" s="9" t="inlineStr">
        <is>
          <t>Grand total</t>
        </is>
      </c>
      <c r="H35" s="10">
        <f>SUM(H5:H34)</f>
        <v/>
      </c>
    </row>
    <row r="36">
      <c r="A36" s="2">
        <f>"Items still missing a unit cost: "&amp;(COUNTA(C5:C34)-COUNT(G5:G34))</f>
        <v/>
      </c>
    </row>
    <row r="37">
      <c r="A37" s="2" t="inlineStr">
        <is>
          <t>Blank Qty = quantity not recorded in the reports or photos; fill it in (Total stays 0 until Qty and Unit cost are both entered).</t>
        </is>
      </c>
    </row>
    <row r="38">
      <c r="A38" s="2" t="inlineStr">
        <is>
          <t>Unit costs are blank because no as-built costing exists in the repo. The only costing (Report 3 Annex 3G) is for the superseded rack-and-pinion design; see that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7" customWidth="1" min="4" max="4"/>
    <col width="46" customWidth="1" min="5" max="5"/>
    <col width="26" customWidth="1" min="6" max="6"/>
    <col width="46" customWidth="1" min="7" max="7"/>
  </cols>
  <sheetData>
    <row r="1">
      <c r="A1" s="1" t="inlineStr">
        <is>
          <t>Bill of Materials (MAKE): parts fabricated or modified in the lab</t>
        </is>
      </c>
    </row>
    <row r="2">
      <c r="A2" s="2" t="inlineStr">
        <is>
          <t>Raw material and processing per Report 4 (DFM/DFA, assembly procedure, Annex 4-1 captions) and build photos.</t>
        </is>
      </c>
    </row>
    <row r="4">
      <c r="A4" s="3" t="inlineStr">
        <is>
          <t>Sl. No.</t>
        </is>
      </c>
      <c r="B4" s="3" t="inlineStr">
        <is>
          <t>Part name</t>
        </is>
      </c>
      <c r="C4" s="3" t="inlineStr">
        <is>
          <t>Raw material</t>
        </is>
      </c>
      <c r="D4" s="3" t="inlineStr">
        <is>
          <t>Qty</t>
        </is>
      </c>
      <c r="E4" s="3" t="inlineStr">
        <is>
          <t>Processing operations</t>
        </is>
      </c>
      <c r="F4" s="3" t="inlineStr">
        <is>
          <t>Source</t>
        </is>
      </c>
      <c r="G4" s="3" t="inlineStr">
        <is>
          <t>Remarks</t>
        </is>
      </c>
    </row>
    <row r="5">
      <c r="A5" s="5" t="n">
        <v>1</v>
      </c>
      <c r="B5" s="5" t="inlineStr">
        <is>
          <t>Ramp plate</t>
        </is>
      </c>
      <c r="C5" s="5" t="inlineStr">
        <is>
          <t>Plywood / laminated board (demo); aluminium sheet in final design</t>
        </is>
      </c>
      <c r="D5" s="5" t="n">
        <v>1</v>
      </c>
      <c r="E5" s="5" t="inlineStr">
        <is>
          <t>Cut to rectangle (curved edge dropped), chamfer edges, drill for bolted joint</t>
        </is>
      </c>
      <c r="F5" s="5" t="inlineStr">
        <is>
          <t>Report 4 (Closure) DFM/DFS; Expo slides; Build photos</t>
        </is>
      </c>
      <c r="G5" s="5" t="inlineStr">
        <is>
          <t>Expo slides: aluminium is the intended material, plywood used for the demo. Bolted (not welded) to ball-nut bracket.</t>
        </is>
      </c>
    </row>
    <row r="6">
      <c r="A6" s="5" t="n">
        <v>2</v>
      </c>
      <c r="B6" s="5" t="inlineStr">
        <is>
          <t>Ramp side / pivot plates</t>
        </is>
      </c>
      <c r="C6" s="5" t="inlineStr">
        <is>
          <t>Plywood</t>
        </is>
      </c>
      <c r="D6" s="5" t="n">
        <v>2</v>
      </c>
      <c r="E6" s="5" t="inlineStr">
        <is>
          <t>Laser-cut or saw-cut, drilled for bearings and rod</t>
        </is>
      </c>
      <c r="F6" s="5" t="inlineStr">
        <is>
          <t>Build photos</t>
        </is>
      </c>
      <c r="G6" s="5" t="inlineStr">
        <is>
          <t>Visible at both sides of the carriage in photos.</t>
        </is>
      </c>
    </row>
    <row r="7">
      <c r="A7" s="5" t="n">
        <v>3</v>
      </c>
      <c r="B7" s="5" t="inlineStr">
        <is>
          <t>Base board</t>
        </is>
      </c>
      <c r="C7" s="5" t="inlineStr">
        <is>
          <t>MDF board</t>
        </is>
      </c>
      <c r="D7" s="5" t="n">
        <v>1</v>
      </c>
      <c r="E7" s="5" t="inlineStr">
        <is>
          <t>Cut to size, mark and drill for SK10, bearings, motor mount, ramp slots</t>
        </is>
      </c>
      <c r="F7" s="5" t="inlineStr">
        <is>
          <t>Report 4 (Closure) Annex 4-3 step 1</t>
        </is>
      </c>
      <c r="G7" s="5" t="inlineStr">
        <is>
          <t>Do not over-tighten screws into MDF.</t>
        </is>
      </c>
    </row>
    <row r="8">
      <c r="A8" s="5" t="n">
        <v>4</v>
      </c>
      <c r="B8" s="5" t="inlineStr">
        <is>
          <t>Frame members</t>
        </is>
      </c>
      <c r="C8" s="5" t="inlineStr">
        <is>
          <t>Aluminium T-slot extrusion (see Buy tab)</t>
        </is>
      </c>
      <c r="D8" s="5" t="n"/>
      <c r="E8" s="5" t="inlineStr">
        <is>
          <t>Cut to length, deburr, assemble with corner brackets</t>
        </is>
      </c>
      <c r="F8" s="5" t="inlineStr">
        <is>
          <t>Report 4 (Closure); Build photos</t>
        </is>
      </c>
      <c r="G8" s="5" t="inlineStr">
        <is>
          <t>Lengths not recorded.</t>
        </is>
      </c>
    </row>
    <row r="9">
      <c r="A9" s="5" t="n">
        <v>5</v>
      </c>
      <c r="B9" s="5" t="inlineStr">
        <is>
          <t>Ball-nut housing / carriage block</t>
        </is>
      </c>
      <c r="C9" s="5" t="inlineStr">
        <is>
          <t>PLA (3D printed)</t>
        </is>
      </c>
      <c r="D9" s="5" t="n">
        <v>1</v>
      </c>
      <c r="E9" s="5" t="inlineStr">
        <is>
          <t>3D print, fit ball nut, bolt to ramp mounting plate</t>
        </is>
      </c>
      <c r="F9" s="5" t="inlineStr">
        <is>
          <t>Report 4 (Closure) Annex 4-3 step 3; Build photos</t>
        </is>
      </c>
      <c r="G9" s="5" t="inlineStr">
        <is>
          <t>Red printed block in photos.</t>
        </is>
      </c>
    </row>
    <row r="10">
      <c r="A10" s="5" t="n">
        <v>6</v>
      </c>
      <c r="B10" s="5" t="inlineStr">
        <is>
          <t>Motor mount</t>
        </is>
      </c>
      <c r="C10" s="5" t="inlineStr">
        <is>
          <t>Flat plate (2D laser cut) with welded support</t>
        </is>
      </c>
      <c r="D10" s="5" t="n">
        <v>1</v>
      </c>
      <c r="E10" s="5" t="inlineStr">
        <is>
          <t>Laser cut, weld support, cut slotted holes for alignment</t>
        </is>
      </c>
      <c r="F10" s="5" t="inlineStr">
        <is>
          <t>Report 4 (Closure) DFM/DFA</t>
        </is>
      </c>
      <c r="G10" s="5" t="inlineStr">
        <is>
          <t>Slotted holes allow lead-screw/motor alignment.</t>
        </is>
      </c>
    </row>
    <row r="11">
      <c r="A11" s="5" t="n">
        <v>7</v>
      </c>
      <c r="B11" s="5" t="inlineStr">
        <is>
          <t>Lead-screw mounting bracket</t>
        </is>
      </c>
      <c r="C11" s="5" t="inlineStr">
        <is>
          <t>Mild steel, L-shaped</t>
        </is>
      </c>
      <c r="D11" s="5" t="n">
        <v>1</v>
      </c>
      <c r="E11" s="5" t="inlineStr">
        <is>
          <t>Cut, drill</t>
        </is>
      </c>
      <c r="F11" s="5" t="inlineStr">
        <is>
          <t>Report 4 (Closure) DFM</t>
        </is>
      </c>
      <c r="G11" s="5" t="inlineStr">
        <is>
          <t>Single L bracket replaced a three-part bracket.</t>
        </is>
      </c>
    </row>
    <row r="12">
      <c r="A12" s="5" t="n">
        <v>8</v>
      </c>
      <c r="B12" s="5" t="inlineStr">
        <is>
          <t>Lead screw (cut to length)</t>
        </is>
      </c>
      <c r="C12" s="5" t="inlineStr">
        <is>
          <t>16 mm ball screw (see Buy tab)</t>
        </is>
      </c>
      <c r="D12" s="5" t="n">
        <v>1</v>
      </c>
      <c r="E12" s="5" t="inlineStr">
        <is>
          <t>Cut with metal-cutting saw, grind ends on bench grinder</t>
        </is>
      </c>
      <c r="F12" s="5" t="inlineStr">
        <is>
          <t>Report 4 (Closure) Annex 4-1</t>
        </is>
      </c>
      <c r="G12" s="5" t="inlineStr"/>
    </row>
    <row r="13">
      <c r="A13" s="5" t="n">
        <v>9</v>
      </c>
      <c r="B13" s="5" t="inlineStr">
        <is>
          <t>Electronics mounting plate</t>
        </is>
      </c>
      <c r="C13" s="5" t="inlineStr">
        <is>
          <t>Clear acrylic sheet</t>
        </is>
      </c>
      <c r="D13" s="5" t="n">
        <v>1</v>
      </c>
      <c r="E13" s="5" t="inlineStr">
        <is>
          <t>Cut, drill 4 mounting holes; holds Arduino, TB6600, SMPS</t>
        </is>
      </c>
      <c r="F13" s="5" t="inlineStr">
        <is>
          <t>Report 4 (Closure) DFA; Build photos</t>
        </is>
      </c>
      <c r="G13" s="5" t="inlineStr">
        <is>
          <t>Removable with 4 screws.</t>
        </is>
      </c>
    </row>
    <row r="14">
      <c r="A14" s="5" t="n">
        <v>10</v>
      </c>
      <c r="B14" s="5" t="inlineStr">
        <is>
          <t>Mechanical end-stop</t>
        </is>
      </c>
      <c r="C14" s="5" t="inlineStr">
        <is>
          <t>Not recorded</t>
        </is>
      </c>
      <c r="D14" s="5" t="n">
        <v>1</v>
      </c>
      <c r="E14" s="5" t="inlineStr">
        <is>
          <t>Fit at end of carriage travel</t>
        </is>
      </c>
      <c r="F14" s="5" t="inlineStr">
        <is>
          <t>Report 4 (Closure) DFS</t>
        </is>
      </c>
      <c r="G14" s="5" t="inlineStr">
        <is>
          <t>Back-up if a limit switch fails.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6" customWidth="1" min="3" max="3"/>
    <col width="7" customWidth="1" min="4" max="4"/>
    <col width="13" customWidth="1" min="5" max="5"/>
    <col width="13" customWidth="1" min="6" max="6"/>
    <col width="40" customWidth="1" min="7" max="7"/>
  </cols>
  <sheetData>
    <row r="1">
      <c r="A1" s="1" t="inlineStr">
        <is>
          <t>Preliminary costing from Report 3 Annex 3G (SUPERSEDED rack-and-pinion design)</t>
        </is>
      </c>
    </row>
    <row r="2">
      <c r="A2" s="2" t="inlineStr">
        <is>
          <t>Kept for reference only. The built prototype uses a NEMA 23 + lead screw instead. Values copied from Report 3.</t>
        </is>
      </c>
    </row>
    <row r="4">
      <c r="A4" s="3" t="inlineStr">
        <is>
          <t>Sl. No.</t>
        </is>
      </c>
      <c r="B4" s="3" t="inlineStr">
        <is>
          <t>Component</t>
        </is>
      </c>
      <c r="C4" s="3" t="inlineStr">
        <is>
          <t>Specification</t>
        </is>
      </c>
      <c r="D4" s="3" t="inlineStr">
        <is>
          <t>Qty</t>
        </is>
      </c>
      <c r="E4" s="3" t="inlineStr">
        <is>
          <t>Unit cost (₹)</t>
        </is>
      </c>
      <c r="F4" s="3" t="inlineStr">
        <is>
          <t>Total (₹)</t>
        </is>
      </c>
      <c r="G4" s="3" t="inlineStr">
        <is>
          <t>Note</t>
        </is>
      </c>
    </row>
    <row r="5">
      <c r="A5" s="5" t="n">
        <v>1</v>
      </c>
      <c r="B5" s="5" t="inlineStr">
        <is>
          <t>Aluminium sheet (top surface)</t>
        </is>
      </c>
      <c r="C5" s="5" t="inlineStr">
        <is>
          <t>4 sheets arranged 2×2 → 1200×800 mm</t>
        </is>
      </c>
      <c r="D5" s="5" t="n">
        <v>4</v>
      </c>
      <c r="E5" s="8" t="n">
        <v>700</v>
      </c>
      <c r="F5" s="8">
        <f>D5*E5</f>
        <v/>
      </c>
      <c r="G5" s="5" t="inlineStr"/>
    </row>
    <row r="6">
      <c r="A6" s="5" t="n">
        <v>2</v>
      </c>
      <c r="B6" s="5" t="inlineStr">
        <is>
          <t>Mild steel frame</t>
        </is>
      </c>
      <c r="C6" s="5" t="inlineStr">
        <is>
          <t>1200×800 mm outline + cross members</t>
        </is>
      </c>
      <c r="D6" s="5" t="n">
        <v>1</v>
      </c>
      <c r="E6" s="8" t="n">
        <v>2500</v>
      </c>
      <c r="F6" s="8">
        <f>D6*E6</f>
        <v/>
      </c>
      <c r="G6" s="5" t="inlineStr"/>
    </row>
    <row r="7">
      <c r="A7" s="5" t="n">
        <v>3</v>
      </c>
      <c r="B7" s="5" t="inlineStr">
        <is>
          <t>Rack &amp; pinion set</t>
        </is>
      </c>
      <c r="C7" s="5" t="inlineStr">
        <is>
          <t>Steel, module 2</t>
        </is>
      </c>
      <c r="D7" s="5" t="n">
        <v>4</v>
      </c>
      <c r="E7" s="8" t="n">
        <v>1500</v>
      </c>
      <c r="F7" s="8">
        <f>D7*E7</f>
        <v/>
      </c>
      <c r="G7" s="5" t="inlineStr"/>
    </row>
    <row r="8">
      <c r="A8" s="5" t="n">
        <v>4</v>
      </c>
      <c r="B8" s="5" t="inlineStr">
        <is>
          <t>DC worm-gear motor</t>
        </is>
      </c>
      <c r="C8" s="5" t="inlineStr">
        <is>
          <t>12–24 V, high torque</t>
        </is>
      </c>
      <c r="D8" s="5" t="n">
        <v>2</v>
      </c>
      <c r="E8" s="8" t="n">
        <v>2500</v>
      </c>
      <c r="F8" s="8">
        <f>D8*E8</f>
        <v/>
      </c>
      <c r="G8" s="5" t="inlineStr"/>
    </row>
    <row r="9">
      <c r="A9" s="5" t="n">
        <v>5</v>
      </c>
      <c r="B9" s="5" t="inlineStr">
        <is>
          <t>Motor driver (BTS7960)</t>
        </is>
      </c>
      <c r="C9" s="5" t="inlineStr">
        <is>
          <t>12–24 V, 15 A rated</t>
        </is>
      </c>
      <c r="D9" s="5" t="n">
        <v>2</v>
      </c>
      <c r="E9" s="8" t="n">
        <v>700</v>
      </c>
      <c r="F9" s="8">
        <f>D9*E9</f>
        <v/>
      </c>
      <c r="G9" s="5" t="inlineStr"/>
    </row>
    <row r="10">
      <c r="A10" s="5" t="n">
        <v>6</v>
      </c>
      <c r="B10" s="5" t="inlineStr">
        <is>
          <t>Rechargeable battery (12 V 7 Ah)</t>
        </is>
      </c>
      <c r="C10" s="5" t="inlineStr">
        <is>
          <t>Lead-acid or Li-ion pack</t>
        </is>
      </c>
      <c r="D10" s="5" t="n">
        <v>1</v>
      </c>
      <c r="E10" s="8" t="n">
        <v>500</v>
      </c>
      <c r="F10" s="8">
        <f>D10*E10</f>
        <v/>
      </c>
      <c r="G10" s="5" t="inlineStr"/>
    </row>
    <row r="11">
      <c r="A11" s="5" t="n">
        <v>7</v>
      </c>
      <c r="B11" s="5" t="inlineStr">
        <is>
          <t>Battery charger / charging module</t>
        </is>
      </c>
      <c r="C11" s="5" t="inlineStr"/>
      <c r="D11" s="5" t="n">
        <v>1</v>
      </c>
      <c r="E11" s="8" t="n">
        <v>250</v>
      </c>
      <c r="F11" s="8">
        <f>D11*E11</f>
        <v/>
      </c>
      <c r="G11" s="5" t="inlineStr"/>
    </row>
    <row r="12">
      <c r="A12" s="5" t="n">
        <v>8</v>
      </c>
      <c r="B12" s="5" t="inlineStr">
        <is>
          <t>Hinges &amp; folding hardware</t>
        </is>
      </c>
      <c r="C12" s="5" t="inlineStr">
        <is>
          <t>Heavy-duty stainless hinges / joints</t>
        </is>
      </c>
      <c r="D12" s="5" t="n">
        <v>3</v>
      </c>
      <c r="E12" s="8" t="n">
        <v>300</v>
      </c>
      <c r="F12" s="8">
        <f>D12*E12</f>
        <v/>
      </c>
      <c r="G12" s="5" t="inlineStr"/>
    </row>
    <row r="13">
      <c r="A13" s="5" t="n">
        <v>9</v>
      </c>
      <c r="B13" s="5" t="inlineStr">
        <is>
          <t>Rivets / bolts / fasteners / washers</t>
        </is>
      </c>
      <c r="C13" s="5" t="inlineStr">
        <is>
          <t>Joining sheets &amp; frame</t>
        </is>
      </c>
      <c r="D13" s="5" t="n"/>
      <c r="E13" s="8" t="n"/>
      <c r="F13" s="11" t="n">
        <v>500</v>
      </c>
      <c r="G13" s="5" t="inlineStr">
        <is>
          <t>Lump sum</t>
        </is>
      </c>
    </row>
    <row r="14">
      <c r="A14" s="5" t="n">
        <v>10</v>
      </c>
      <c r="B14" s="5" t="inlineStr">
        <is>
          <t>Bearings / shafts / couplings</t>
        </is>
      </c>
      <c r="C14" s="5" t="inlineStr">
        <is>
          <t>For pinion &amp; drive coupling</t>
        </is>
      </c>
      <c r="D14" s="5" t="n"/>
      <c r="E14" s="8" t="n"/>
      <c r="F14" s="11" t="n">
        <v>500</v>
      </c>
      <c r="G14" s="5" t="inlineStr">
        <is>
          <t>Lump sum</t>
        </is>
      </c>
    </row>
    <row r="15">
      <c r="A15" s="5" t="n">
        <v>11</v>
      </c>
      <c r="B15" s="5" t="inlineStr">
        <is>
          <t>Wiring, connectors, switches</t>
        </is>
      </c>
      <c r="C15" s="5" t="inlineStr">
        <is>
          <t>Power &amp; signal harness</t>
        </is>
      </c>
      <c r="D15" s="5" t="n"/>
      <c r="E15" s="8" t="n"/>
      <c r="F15" s="11" t="n">
        <v>600</v>
      </c>
      <c r="G15" s="5" t="inlineStr">
        <is>
          <t>Lump sum</t>
        </is>
      </c>
    </row>
    <row r="16">
      <c r="A16" s="5" t="n">
        <v>12</v>
      </c>
      <c r="B16" s="5" t="inlineStr">
        <is>
          <t>Enclosure / control box</t>
        </is>
      </c>
      <c r="C16" s="5" t="inlineStr">
        <is>
          <t>Plastic or metal electronics box</t>
        </is>
      </c>
      <c r="D16" s="5" t="n">
        <v>1</v>
      </c>
      <c r="E16" s="8" t="n">
        <v>500</v>
      </c>
      <c r="F16" s="8">
        <f>D16*E16</f>
        <v/>
      </c>
      <c r="G16" s="5" t="inlineStr"/>
    </row>
    <row r="17">
      <c r="A17" s="5" t="n">
        <v>13</v>
      </c>
      <c r="B17" s="5" t="inlineStr">
        <is>
          <t>Painting, finishing &amp; anti-slip strips</t>
        </is>
      </c>
      <c r="C17" s="5" t="inlineStr">
        <is>
          <t>Anti-rust, powder coat + non-slip tape</t>
        </is>
      </c>
      <c r="D17" s="5" t="n"/>
      <c r="E17" s="8" t="n"/>
      <c r="F17" s="11" t="n">
        <v>1000</v>
      </c>
      <c r="G17" s="5" t="inlineStr">
        <is>
          <t>Lump sum</t>
        </is>
      </c>
    </row>
    <row r="18">
      <c r="A18" s="5" t="n">
        <v>14</v>
      </c>
      <c r="B18" s="5" t="inlineStr">
        <is>
          <t>Testing &amp; demo materials</t>
        </is>
      </c>
      <c r="C18" s="5" t="inlineStr">
        <is>
          <t>Platform mock-up, load test tools</t>
        </is>
      </c>
      <c r="D18" s="5" t="n"/>
      <c r="E18" s="8" t="n"/>
      <c r="F18" s="11" t="n">
        <v>1000</v>
      </c>
      <c r="G18" s="5" t="inlineStr">
        <is>
          <t>Lump sum</t>
        </is>
      </c>
    </row>
    <row r="19">
      <c r="A19" s="5" t="n">
        <v>15</v>
      </c>
      <c r="B19" s="5" t="inlineStr">
        <is>
          <t>Aluminium rods</t>
        </is>
      </c>
      <c r="C19" s="5" t="inlineStr"/>
      <c r="D19" s="5" t="n">
        <v>2</v>
      </c>
      <c r="E19" s="8" t="n">
        <v>600</v>
      </c>
      <c r="F19" s="8">
        <f>D19*E19</f>
        <v/>
      </c>
      <c r="G19" s="5" t="inlineStr"/>
    </row>
    <row r="20">
      <c r="E20" s="9" t="inlineStr">
        <is>
          <t>Sum of lines</t>
        </is>
      </c>
      <c r="F20" s="10">
        <f>SUM(F5:F19)</f>
        <v/>
      </c>
    </row>
    <row r="21">
      <c r="E21" s="12" t="inlineStr">
        <is>
          <t>Report 3 stated total</t>
        </is>
      </c>
      <c r="F21" s="13" t="n">
        <v>25450</v>
      </c>
    </row>
    <row r="22">
      <c r="E22" s="12" t="inlineStr">
        <is>
          <t>Difference</t>
        </is>
      </c>
      <c r="F22" s="14">
        <f>F21-F20</f>
        <v/>
      </c>
    </row>
    <row r="24">
      <c r="A24" s="2" t="inlineStr">
        <is>
          <t>Note: the line items in Report 3 add up to less than the 'Grand total' printed in the report; the difference is shown above.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How this BOM was rebuilt</t>
        </is>
      </c>
    </row>
    <row r="2">
      <c r="A2" s="16" t="inlineStr">
        <is>
          <t>The original BOM.xlsx in the repo was an empty placeholder. This workbook was reconstructed from:</t>
        </is>
      </c>
    </row>
    <row r="3">
      <c r="A3" s="16" t="inlineStr">
        <is>
          <t>• Reports/Report-4_Group-5_Sec-2.pdf: closure report (DFM/DFA/DFS, assembly and disassembly procedure, troubleshooting, final Arduino code).</t>
        </is>
      </c>
    </row>
    <row r="4">
      <c r="A4" s="16" t="inlineStr">
        <is>
          <t>• GROUP-25_DIM_Section-2-Expo.pptx: product specification (16 mm lead-screw actuator, 12–24 V DC, aluminium ramp, plywood for demo).</t>
        </is>
      </c>
    </row>
    <row r="5">
      <c r="A5" s="16" t="inlineStr">
        <is>
          <t>• Process and Making images/: build photos used to confirm parts and estimate counts.</t>
        </is>
      </c>
    </row>
    <row r="6">
      <c r="A6" s="16" t="inlineStr">
        <is>
          <t>• Reports/Report-3_Group-5_Sec-2.pdf: Annex 3E/3G BOM and costing for the earlier rack-and-pinion concept (superseded).</t>
        </is>
      </c>
    </row>
    <row r="7">
      <c r="A7" s="16" t="inlineStr"/>
    </row>
    <row r="8">
      <c r="A8" s="15" t="inlineStr">
        <is>
          <t>Legend</t>
        </is>
      </c>
    </row>
    <row r="9">
      <c r="A9" s="16" t="inlineStr">
        <is>
          <t>• Yellow cells with blue text are inputs (quantity and unit cost). Totals are formulas and update automatically.</t>
        </is>
      </c>
    </row>
    <row r="10">
      <c r="A10" s="16" t="inlineStr">
        <is>
          <t>• Source column says where each line came from. 'Inferred from photos' means the part is visible but no report names it or its count.</t>
        </is>
      </c>
    </row>
    <row r="11">
      <c r="A11" s="16" t="inlineStr"/>
    </row>
    <row r="12">
      <c r="A12" s="15" t="inlineStr">
        <is>
          <t>Open items to fill in</t>
        </is>
      </c>
    </row>
    <row r="13">
      <c r="A13" s="16" t="inlineStr">
        <is>
          <t>• Unit costs for every Buy line (no as-built costing exists in the repo).</t>
        </is>
      </c>
    </row>
    <row r="14">
      <c r="A14" s="16" t="inlineStr">
        <is>
          <t>• Extrusion profile size and total length, corner bracket and T-nut counts, lead-screw and guide-rod lengths.</t>
        </is>
      </c>
    </row>
    <row r="15">
      <c r="A15" s="16" t="inlineStr">
        <is>
          <t>• Confirm the linear slider blocks and mains switch/cord against the physical prototype.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2026-10-04T07:39:00Z</dcterms:created>
  <dcterms:modified xmlns:dcterms="http://purl.org/dc/terms/" xmlns:xsi="http://www.w3.org/2001/XMLSchema-instance" xsi:type="dcterms:W3CDTF">2026-10-04T07:39:00Z</dcterms:modified>
</cp:coreProperties>
</file>